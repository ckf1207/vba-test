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kcheng\Downloads\"/>
    </mc:Choice>
  </mc:AlternateContent>
  <bookViews>
    <workbookView minimized="1" xWindow="180" yWindow="180" windowWidth="13995" windowHeight="13995" activeTab="2"/>
  </bookViews>
  <sheets>
    <sheet name="COVERSHEET" sheetId="3" r:id="rId1"/>
    <sheet name="TESFTQ" sheetId="1" r:id="rId2"/>
    <sheet name="FT_PRESETTING" sheetId="2" r:id="rId3"/>
  </sheets>
  <functionGroups builtInGroupCount="18"/>
  <calcPr calcId="162913"/>
  <customWorkbookViews>
    <customWorkbookView name="zz_mdftoxhamilton - Personal View" guid="{7FD4A502-BBF6-483C-8A47-937AAB496D89}" mergeInterval="0" personalView="1" xWindow="123" yWindow="119" windowWidth="1221" windowHeight="785" activeSheetId="1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D8" i="2" l="1"/>
  <c r="F8" i="2" s="1"/>
  <c r="F8" i="1" s="1"/>
  <c r="E3" i="2"/>
  <c r="E3" i="1" s="1"/>
  <c r="B10" i="1"/>
  <c r="B5" i="1"/>
  <c r="E9" i="1"/>
  <c r="D9" i="1"/>
  <c r="D4" i="1"/>
  <c r="B9" i="1"/>
  <c r="F9" i="2"/>
  <c r="F9" i="1" s="1"/>
  <c r="E9" i="2"/>
  <c r="C9" i="2"/>
  <c r="C9" i="1" s="1"/>
  <c r="B9" i="2"/>
  <c r="F4" i="2"/>
  <c r="F4" i="1" s="1"/>
  <c r="E4" i="2"/>
  <c r="E4" i="1" s="1"/>
  <c r="C4" i="2"/>
  <c r="C4" i="1" s="1"/>
  <c r="B4" i="2"/>
  <c r="B4" i="1" s="1"/>
  <c r="D8" i="1" l="1"/>
  <c r="B8" i="2"/>
  <c r="B8" i="1" s="1"/>
  <c r="C8" i="2"/>
  <c r="C8" i="1" s="1"/>
  <c r="E8" i="2"/>
  <c r="E8" i="1" s="1"/>
  <c r="D3" i="1"/>
  <c r="B3" i="2"/>
  <c r="B3" i="1" s="1"/>
  <c r="F3" i="2"/>
  <c r="F3" i="1" s="1"/>
  <c r="C3" i="2"/>
  <c r="C3" i="1" s="1"/>
</calcChain>
</file>

<file path=xl/sharedStrings.xml><?xml version="1.0" encoding="utf-8"?>
<sst xmlns="http://schemas.openxmlformats.org/spreadsheetml/2006/main" count="83" uniqueCount="52">
  <si>
    <t>%</t>
  </si>
  <si>
    <t>2SD LOW</t>
  </si>
  <si>
    <t>2SD High</t>
  </si>
  <si>
    <t>3SD LOW</t>
  </si>
  <si>
    <t>3SD High</t>
  </si>
  <si>
    <t>Female</t>
  </si>
  <si>
    <t>Male</t>
  </si>
  <si>
    <t xml:space="preserve">Hot </t>
  </si>
  <si>
    <t>Buffer</t>
  </si>
  <si>
    <t>TT result</t>
  </si>
  <si>
    <t>Free T %</t>
  </si>
  <si>
    <t>Free T [pg/mL]</t>
  </si>
  <si>
    <t>3.Get Free T % and Free T [pg/mL]</t>
  </si>
  <si>
    <t>FT Simplify Calculator</t>
  </si>
  <si>
    <t>1.Type the Hot, Buffer, and TT result</t>
  </si>
  <si>
    <t>2. Click Calculation</t>
  </si>
  <si>
    <t>Concentration</t>
  </si>
  <si>
    <t>Target</t>
  </si>
  <si>
    <t xml:space="preserve"> </t>
  </si>
  <si>
    <t>TT RESULT:</t>
  </si>
  <si>
    <t>Container ID</t>
  </si>
  <si>
    <t>Current QC range</t>
  </si>
  <si>
    <t>PHYSICIAL INSTRUMENT</t>
  </si>
  <si>
    <t>LIS INSTRUMENT</t>
  </si>
  <si>
    <t>MBETA1</t>
  </si>
  <si>
    <t>MBETA2</t>
  </si>
  <si>
    <t>MBETA3</t>
  </si>
  <si>
    <t>MBETA4</t>
  </si>
  <si>
    <t>SERIAL NUMBER</t>
  </si>
  <si>
    <t>TESFTQ-REPORT(MACRO)</t>
  </si>
  <si>
    <t>The TESFTQ-REPORT is primarily using Visual Basic Application (VBA)</t>
  </si>
  <si>
    <t xml:space="preserve"> to analysis raw data from instrument,</t>
  </si>
  <si>
    <t>and send the final result to LIS</t>
  </si>
  <si>
    <t xml:space="preserve">TESFTQ-REPORT(MACRO) only used in Testosterone, Free (Dialysis) at Medfusion </t>
  </si>
  <si>
    <t>NO TT RESULT DB LOCATION</t>
  </si>
  <si>
    <t>FT RESULT DB</t>
  </si>
  <si>
    <t>MISCELLANEOUS DB LOCATION</t>
  </si>
  <si>
    <t>MISCELLANEOUS DB READING LOCATION</t>
  </si>
  <si>
    <t>FT RESULT DB READING</t>
  </si>
  <si>
    <t>T:\Work List\VBA_AND_DATABASE_SOURCE\TESFTQ\FT_MISCELLANEOUS_MS_ACCESS\MISCELLANEOUS_FT.accdb</t>
  </si>
  <si>
    <t>T:\Work List\VBA_AND_DATABASE_SOURCE\TESFTQ\FT_MISCELLANEOUS_MS_ACCESS\MISCELLANEOUS_FT_READONLY.accdb</t>
  </si>
  <si>
    <t>T:\Work List\VBA_AND_DATABASE_SOURCE\TESFTQ\NO_TT_RESULT\NO_TT_RESULT.accdb</t>
  </si>
  <si>
    <t>T:\Work List\VBA_AND_DATABASE_SOURCE\TESFTQ\FT_RESULT_DATABASE_MS_ACCESS\FT_RESULT_DATABASE.accdb</t>
  </si>
  <si>
    <t>T:\Work List\VBA_AND_DATABASE_SOURCE\TESFTQ\FT_RESULT_DATABASE_MS_ACCESS\FT_RESULT_DATABASE_PENDING.accdb</t>
  </si>
  <si>
    <t>PATIENT DISTRIBUTION</t>
  </si>
  <si>
    <t>FEMALE LOW LIMIT</t>
  </si>
  <si>
    <t>FEMALE HIGH LIMIT</t>
  </si>
  <si>
    <t>MALE LOW LIMIT</t>
  </si>
  <si>
    <t>MALE HIGH LIMIT</t>
  </si>
  <si>
    <t>DB PATH:</t>
  </si>
  <si>
    <t>MALE-FEMALE FT% LOW LIMIT</t>
  </si>
  <si>
    <t>MALE-FEMALE FT% HIGH LIMIT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</si>
</sst>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0.0"/>
    <numFmt numFmtId="165" formatCode="###0"/>
  </numFmts>
  <fonts count="2">
    <font>
      <sz val="11"/>
      <color theme="1"/>
      <name val="Calibri"/>
      <family val="2"/>
      <scheme val="minor"/>
    </font>
    <font>
      <sz val="9"/>
      <name val="Calibri"/>
      <family val="3"/>
      <charset val="136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93"/>
        <bgColor indexed="64"/>
      </patternFill>
    </fill>
    <fill>
      <patternFill patternType="solid">
        <fgColor rgb="FFFF8D8D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1">
    <xf numFmtId="0" fontId="0" fillId="0" borderId="0"/>
  </cellStyleXfs>
  <cellXfs count="29">
    <xf numFmtId="0" fontId="0" fillId="0" borderId="0" xfId="0"/>
    <xf numFmtId="0" fontId="0" fillId="0" borderId="1" xfId="0" applyBorder="1" applyAlignment="1">
      <alignment horizontal="center" vertical="center"/>
    </xf>
    <xf numFmtId="2" fontId="0" fillId="0" borderId="1" xfId="0" applyNumberFormat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2" xfId="0" applyBorder="1"/>
    <xf numFmtId="0" fontId="0" fillId="0" borderId="4" xfId="0" applyBorder="1"/>
    <xf numFmtId="0" fontId="0" fillId="0" borderId="0" xfId="0" applyAlignment="1">
      <alignment vertical="center"/>
    </xf>
    <xf numFmtId="2" fontId="0" fillId="3" borderId="1" xfId="0" applyNumberFormat="1" applyFill="1" applyBorder="1" applyAlignment="1">
      <alignment horizontal="center" vertical="center"/>
    </xf>
    <xf numFmtId="2" fontId="0" fillId="4" borderId="1" xfId="0" applyNumberFormat="1" applyFill="1" applyBorder="1" applyAlignment="1">
      <alignment horizontal="center" vertical="center"/>
    </xf>
    <xf numFmtId="0" fontId="0" fillId="0" borderId="0" xfId="0" applyAlignment="1">
      <alignment horizontal="left"/>
    </xf>
    <xf numFmtId="1" fontId="0" fillId="0" borderId="1" xfId="0" applyNumberFormat="1" applyBorder="1" applyAlignment="1">
      <alignment horizontal="center" vertical="center"/>
    </xf>
    <xf numFmtId="0" fontId="0" fillId="0" borderId="0" xfId="0" applyAlignment="1">
      <alignment wrapText="1"/>
    </xf>
    <xf numFmtId="0" fontId="0" fillId="0" borderId="3" xfId="0" applyBorder="1"/>
    <xf numFmtId="165" fontId="0" fillId="0" borderId="0" xfId="0" applyNumberFormat="1"/>
    <xf numFmtId="2" fontId="0" fillId="0" borderId="0" xfId="0" applyNumberFormat="1"/>
    <xf numFmtId="165" fontId="0" fillId="0" borderId="0" xfId="0" applyNumberFormat="1" applyAlignment="1">
      <alignment horizontal="left"/>
    </xf>
    <xf numFmtId="0" fontId="0" fillId="0" borderId="2" xfId="0" applyBorder="1" applyAlignment="1">
      <alignment horizontal="left" vertical="center"/>
    </xf>
    <xf numFmtId="0" fontId="0" fillId="0" borderId="4" xfId="0" applyBorder="1" applyAlignment="1">
      <alignment horizontal="left"/>
    </xf>
    <xf numFmtId="0" fontId="0" fillId="0" borderId="3" xfId="0" applyBorder="1"/>
    <xf numFmtId="0" fontId="0" fillId="0" borderId="0" xfId="0" applyFill="1" applyBorder="1" applyAlignment="1">
      <alignment horizontal="center" vertical="center"/>
    </xf>
    <xf numFmtId="0" fontId="0" fillId="0" borderId="0" xfId="0" applyFill="1" applyBorder="1" applyAlignment="1">
      <alignment horizontal="left" vertical="center"/>
    </xf>
  </cellXfs>
  <cellStyles count="1">
    <cellStyle name="Normal" xfId="0" builtinId="0"/>
  </cellStyles>
  <dxfs count="0"/>
  <tableStyles count="1" defaultTableStyle="TableStyleMedium2" defaultPivotStyle="PivotStyleLight16">
    <tableStyle name="Invisible" pivot="0" table="0" count="0"/>
  </tableStyles>
  <colors>
    <mruColors>
      <color rgb="FFFF8D8D"/>
      <color rgb="FFFFFF9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76200</xdr:colOff>
      <xdr:row>18</xdr:row>
      <xdr:rowOff>28575</xdr:rowOff>
    </xdr:from>
    <xdr:to>
      <xdr:col>10</xdr:col>
      <xdr:colOff>228600</xdr:colOff>
      <xdr:row>21</xdr:row>
      <xdr:rowOff>5715</xdr:rowOff>
    </xdr:to>
    <xdr:sp macro="[0]!Button1_Click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E8CD0CC1-B040-4112-AEB6-C5F297921FA4}"/>
            </a:ext>
          </a:extLst>
        </xdr:cNvPr>
        <xdr:cNvSpPr/>
      </xdr:nvSpPr>
      <xdr:spPr>
        <a:xfrm>
          <a:off x="4953000" y="3457575"/>
          <a:ext cx="1371600" cy="548640"/>
        </a:xfrm>
        <a:prstGeom prst="roundRect">
          <a:avLst/>
        </a:prstGeom>
        <a:solidFill>
          <a:srgbClr val="81B2DF"/>
        </a:solidFill>
        <a:ln>
          <a:noFill/>
        </a:ln>
        <a:scene3d>
          <a:camera prst="orthographicFront"/>
          <a:lightRig rig="threePt" dir="t"/>
        </a:scene3d>
        <a:sp3d>
          <a:bevelT w="152400" h="50800" prst="softRound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/>
            <a:t>CALCULATE</a:t>
          </a:r>
        </a:p>
      </xdr:txBody>
    </xdr:sp>
    <xdr:clientData/>
  </xdr:twoCellAnchor>
  <xdr:twoCellAnchor>
    <xdr:from>
      <xdr:col>8</xdr:col>
      <xdr:colOff>76201</xdr:colOff>
      <xdr:row>23</xdr:row>
      <xdr:rowOff>47625</xdr:rowOff>
    </xdr:from>
    <xdr:to>
      <xdr:col>10</xdr:col>
      <xdr:colOff>228601</xdr:colOff>
      <xdr:row>26</xdr:row>
      <xdr:rowOff>24765</xdr:rowOff>
    </xdr:to>
    <xdr:sp macro="[0]!Button2_Click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97884EBF-629C-43DC-A42B-1183ACEE82A9}"/>
            </a:ext>
          </a:extLst>
        </xdr:cNvPr>
        <xdr:cNvSpPr/>
      </xdr:nvSpPr>
      <xdr:spPr>
        <a:xfrm>
          <a:off x="4953001" y="4429125"/>
          <a:ext cx="1371600" cy="548640"/>
        </a:xfrm>
        <a:prstGeom prst="roundRect">
          <a:avLst/>
        </a:prstGeom>
        <a:solidFill>
          <a:srgbClr val="81B2DF"/>
        </a:solidFill>
        <a:ln>
          <a:noFill/>
        </a:ln>
        <a:scene3d>
          <a:camera prst="orthographicFront"/>
          <a:lightRig rig="threePt" dir="t"/>
        </a:scene3d>
        <a:sp3d>
          <a:bevelT w="152400" h="50800" prst="softRound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/>
            <a:t>CLEAR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F17"/>
  <sheetViews>
    <sheetView workbookViewId="0"/>
  </sheetViews>
  <sheetFormatPr defaultRowHeight="15"/>
  <cols>
    <col min="1" max="1" width="13.7109375" customWidth="1"/>
    <col min="2" max="2" width="9.140625" customWidth="1"/>
    <col min="4" max="4" width="9.140625" customWidth="1"/>
  </cols>
  <sheetData>
    <row r="1" spans="1:5">
      <c r="A1" t="s">
        <v>29</v>
      </c>
    </row>
    <row r="3" spans="1:5">
      <c r="A3" t="s">
        <v>30</v>
      </c>
    </row>
    <row r="4" spans="1:5">
      <c r="A4" t="s">
        <v>31</v>
      </c>
    </row>
    <row r="5" spans="1:5">
      <c r="A5" t="s">
        <v>32</v>
      </c>
    </row>
    <row r="7" spans="1:5">
      <c r="A7" t="s">
        <v>33</v>
      </c>
    </row>
    <row r="12" spans="1:5">
      <c r="A12" s="7" t="s">
        <v>13</v>
      </c>
      <c r="B12" s="8"/>
      <c r="C12" s="8"/>
      <c r="D12" s="8"/>
      <c r="E12" s="9"/>
    </row>
    <row r="13" spans="1:5">
      <c r="A13" s="10" t="s">
        <v>14</v>
      </c>
      <c r="E13" s="11"/>
    </row>
    <row r="14" spans="1:5">
      <c r="A14" s="10" t="s">
        <v>15</v>
      </c>
      <c r="E14" s="11"/>
    </row>
    <row r="15" spans="1:5">
      <c r="A15" s="12" t="s">
        <v>12</v>
      </c>
      <c r="B15" s="13"/>
      <c r="C15" s="13"/>
      <c r="D15" s="13"/>
      <c r="E15" s="20"/>
    </row>
    <row r="17" spans="1:6">
      <c r="A17" t="s">
        <v>20</v>
      </c>
      <c r="B17" t="s">
        <v>7</v>
      </c>
      <c r="C17" t="s">
        <v>8</v>
      </c>
      <c r="D17" t="s">
        <v>9</v>
      </c>
      <c r="E17" t="s">
        <v>10</v>
      </c>
      <c r="F17" t="s">
        <v>11</v>
      </c>
    </row>
  </sheetData>
  <phoneticPr fontId="1" type="noConversion"/>
  <pageMargins left="0.7" right="0.7" top="0.75" bottom="0.75" header="0.3" footer="0.3"/>
  <pageSetup paperSize="9" orientation="portrait" horizontalDpi="300" verticalDpi="3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O21"/>
  <sheetViews>
    <sheetView workbookViewId="0">
      <selection sqref="A1:C1"/>
    </sheetView>
  </sheetViews>
  <sheetFormatPr defaultRowHeight="15"/>
  <cols>
    <col min="1" max="1" width="13.7109375" customWidth="1"/>
    <col min="10" max="10" width="14.140625" customWidth="1"/>
  </cols>
  <sheetData>
    <row r="1" spans="1:15">
      <c r="A1" s="24" t="s">
        <v>21</v>
      </c>
      <c r="B1" s="25"/>
      <c r="C1" s="26"/>
      <c r="D1" s="1"/>
      <c r="E1" s="1"/>
      <c r="F1" s="1"/>
      <c r="I1" s="17"/>
      <c r="J1" s="14"/>
      <c r="M1" s="4"/>
      <c r="N1" s="4"/>
      <c r="O1" s="4"/>
    </row>
    <row r="2" spans="1:15">
      <c r="A2" s="1" t="s">
        <v>5</v>
      </c>
      <c r="B2" s="3" t="s">
        <v>3</v>
      </c>
      <c r="C2" s="3" t="s">
        <v>1</v>
      </c>
      <c r="D2" s="1" t="s">
        <v>17</v>
      </c>
      <c r="E2" s="3" t="s">
        <v>2</v>
      </c>
      <c r="F2" s="1" t="s">
        <v>4</v>
      </c>
      <c r="J2" s="4"/>
      <c r="K2" s="4"/>
      <c r="L2" s="4"/>
      <c r="N2" s="4"/>
      <c r="O2" s="4"/>
    </row>
    <row r="3" spans="1:15">
      <c r="A3" s="1" t="s">
        <v>0</v>
      </c>
      <c r="B3" s="16">
        <f>FT_PRESETTING!B3</f>
        <v>0.50600000000000001</v>
      </c>
      <c r="C3" s="15">
        <f>FT_PRESETTING!C3</f>
        <v>0.64400000000000002</v>
      </c>
      <c r="D3" s="2">
        <f>FT_PRESETTING!D3</f>
        <v>0.92</v>
      </c>
      <c r="E3" s="15">
        <f>FT_PRESETTING!E3</f>
        <v>1.1960000000000002</v>
      </c>
      <c r="F3" s="16">
        <f>FT_PRESETTING!F3</f>
        <v>1.3340000000000001</v>
      </c>
      <c r="J3" s="4"/>
      <c r="K3" s="5"/>
      <c r="L3" s="5"/>
      <c r="M3" s="5"/>
      <c r="N3" s="5"/>
      <c r="O3" s="5"/>
    </row>
    <row r="4" spans="1:15">
      <c r="A4" s="1" t="s">
        <v>16</v>
      </c>
      <c r="B4" s="16">
        <f>FT_PRESETTING!B4</f>
        <v>0.86350000000000005</v>
      </c>
      <c r="C4" s="15">
        <f>FT_PRESETTING!C4</f>
        <v>1.0990000000000002</v>
      </c>
      <c r="D4" s="2">
        <f>FT_PRESETTING!D4</f>
        <v>1.57</v>
      </c>
      <c r="E4" s="15">
        <f>FT_PRESETTING!E4</f>
        <v>2.0409999999999999</v>
      </c>
      <c r="F4" s="16">
        <f>FT_PRESETTING!F4</f>
        <v>2.2765</v>
      </c>
      <c r="J4" s="4"/>
      <c r="K4" s="5"/>
      <c r="L4" s="5"/>
      <c r="M4" s="6"/>
      <c r="N4" s="5"/>
      <c r="O4" s="5"/>
    </row>
    <row r="5" spans="1:15">
      <c r="A5" s="1" t="s">
        <v>19</v>
      </c>
      <c r="B5" s="18">
        <f>FT_PRESETTING!B5</f>
        <v>17</v>
      </c>
      <c r="C5" s="1"/>
      <c r="D5" s="1"/>
      <c r="E5" s="1"/>
      <c r="F5" s="1"/>
      <c r="J5" s="4"/>
      <c r="K5" s="4"/>
      <c r="L5" s="4"/>
      <c r="M5" s="4"/>
      <c r="N5" s="4"/>
      <c r="O5" s="4"/>
    </row>
    <row r="6" spans="1:15">
      <c r="A6" s="1"/>
      <c r="B6" s="1"/>
      <c r="C6" s="1"/>
      <c r="D6" s="1"/>
      <c r="E6" s="1"/>
      <c r="F6" s="1"/>
      <c r="J6" s="4"/>
      <c r="K6" s="4"/>
      <c r="L6" s="4"/>
      <c r="M6" s="4"/>
      <c r="N6" s="4"/>
      <c r="O6" s="4"/>
    </row>
    <row r="7" spans="1:15">
      <c r="A7" s="1" t="s">
        <v>6</v>
      </c>
      <c r="B7" s="1" t="s">
        <v>3</v>
      </c>
      <c r="C7" s="1" t="s">
        <v>1</v>
      </c>
      <c r="D7" s="1" t="s">
        <v>17</v>
      </c>
      <c r="E7" s="3" t="s">
        <v>2</v>
      </c>
      <c r="F7" s="1" t="s">
        <v>4</v>
      </c>
      <c r="J7" s="4"/>
      <c r="K7" s="4"/>
      <c r="L7" s="4"/>
      <c r="M7" s="4"/>
      <c r="N7" s="4"/>
      <c r="O7" s="4"/>
    </row>
    <row r="8" spans="1:15">
      <c r="A8" s="1" t="s">
        <v>0</v>
      </c>
      <c r="B8" s="16">
        <f>FT_PRESETTING!B8</f>
        <v>1.2044999999999999</v>
      </c>
      <c r="C8" s="15">
        <f>FT_PRESETTING!C8</f>
        <v>1.5329999999999999</v>
      </c>
      <c r="D8" s="2">
        <f>FT_PRESETTING!D8</f>
        <v>2.19</v>
      </c>
      <c r="E8" s="15">
        <f>FT_PRESETTING!E8</f>
        <v>2.847</v>
      </c>
      <c r="F8" s="16">
        <f>FT_PRESETTING!F8</f>
        <v>3.1755</v>
      </c>
      <c r="J8" s="4"/>
      <c r="K8" s="5"/>
      <c r="L8" s="5"/>
      <c r="M8" s="5"/>
      <c r="N8" s="5"/>
      <c r="O8" s="5"/>
    </row>
    <row r="9" spans="1:15">
      <c r="A9" s="1" t="s">
        <v>16</v>
      </c>
      <c r="B9" s="16">
        <f>FT_PRESETTING!B9</f>
        <v>47.888499999999993</v>
      </c>
      <c r="C9" s="15">
        <f>FT_PRESETTING!C9</f>
        <v>60.948999999999998</v>
      </c>
      <c r="D9" s="2">
        <f>FT_PRESETTING!D9</f>
        <v>87.07</v>
      </c>
      <c r="E9" s="15">
        <f>FT_PRESETTING!E9</f>
        <v>113.19099999999999</v>
      </c>
      <c r="F9" s="16">
        <f>FT_PRESETTING!F9</f>
        <v>126.25149999999999</v>
      </c>
      <c r="J9" s="4"/>
      <c r="K9" s="5"/>
      <c r="L9" s="5"/>
      <c r="M9" s="6"/>
      <c r="N9" s="5"/>
      <c r="O9" s="5"/>
    </row>
    <row r="10" spans="1:15">
      <c r="A10" s="1" t="s">
        <v>19</v>
      </c>
      <c r="B10" s="1">
        <f>FT_PRESETTING!B10</f>
        <v>398</v>
      </c>
      <c r="C10" s="1"/>
      <c r="D10" s="1"/>
      <c r="E10" s="1"/>
      <c r="F10" s="1"/>
      <c r="J10" s="4"/>
      <c r="K10" s="5"/>
      <c r="L10" s="5"/>
      <c r="M10" s="6"/>
      <c r="N10" s="5"/>
      <c r="O10" s="5"/>
    </row>
    <row r="11" spans="1:15">
      <c r="A11" s="4"/>
      <c r="B11" s="5"/>
      <c r="C11" s="5"/>
      <c r="D11" s="6"/>
      <c r="E11" s="5"/>
      <c r="F11" s="5"/>
    </row>
    <row r="16" spans="1:15">
      <c r="O16" t="s">
        <v>18</v>
      </c>
    </row>
    <row r="18" spans="1:6">
      <c r="B18" s="21"/>
      <c r="C18" s="21"/>
      <c r="E18" s="22"/>
      <c r="F18" s="22"/>
    </row>
    <row r="19" spans="1:6">
      <c r="B19" s="23"/>
      <c r="C19" s="23"/>
      <c r="E19" s="22"/>
      <c r="F19" s="22"/>
    </row>
    <row r="20" spans="1:6">
      <c r="A20" s="21"/>
      <c r="B20" s="21"/>
    </row>
    <row r="21" spans="1:6">
      <c r="A21" s="21"/>
      <c r="B21" s="21"/>
    </row>
  </sheetData>
  <customSheetViews>
    <customSheetView guid="{7FD4A502-BBF6-483C-8A47-937AAB496D89}">
      <selection activeCell="D19" sqref="D19"/>
      <pageMargins left="0.7" right="0.7" top="0.75" bottom="0.75" header="0.3" footer="0.3"/>
      <pageSetup orientation="portrait" r:id="rId1"/>
    </customSheetView>
  </customSheetViews>
  <mergeCells count="1">
    <mergeCell ref="A1:C1"/>
  </mergeCells>
  <phoneticPr fontId="1" type="noConversion"/>
  <pageMargins left="0.7" right="0.7" top="0.75" bottom="0.75" header="0.3" footer="0.3"/>
  <pageSetup orientation="portrait"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J25"/>
  <sheetViews>
    <sheetView tabSelected="1" workbookViewId="0">
      <selection activeCell="E25" sqref="E25"/>
    </sheetView>
  </sheetViews>
  <sheetFormatPr defaultRowHeight="15"/>
  <cols>
    <col min="1" max="1" width="13.7109375" bestFit="1" customWidth="1"/>
    <col min="2" max="3" width="8.85546875" bestFit="1" customWidth="1"/>
    <col min="4" max="4" width="6.5703125" bestFit="1" customWidth="1"/>
    <col min="5" max="6" width="8.7109375" bestFit="1" customWidth="1"/>
    <col min="8" max="8" width="18.5703125" customWidth="1"/>
    <col min="9" max="9" width="15.28515625" customWidth="1"/>
    <col min="10" max="10" width="14.28515625" customWidth="1"/>
    <col min="13" max="13" width="12" bestFit="1" customWidth="1"/>
  </cols>
  <sheetData>
    <row r="1" spans="1:10" ht="33.75" customHeight="1">
      <c r="A1" s="24" t="s">
        <v>21</v>
      </c>
      <c r="B1" s="25"/>
      <c r="C1" s="26"/>
      <c r="D1" s="1"/>
      <c r="E1" s="1"/>
      <c r="F1" s="1"/>
      <c r="H1" s="19" t="s">
        <v>22</v>
      </c>
      <c r="I1" s="19" t="s">
        <v>28</v>
      </c>
      <c r="J1" s="19" t="s">
        <v>23</v>
      </c>
    </row>
    <row r="2" spans="1:10">
      <c r="A2" s="1" t="s">
        <v>5</v>
      </c>
      <c r="B2" s="3" t="s">
        <v>3</v>
      </c>
      <c r="C2" s="3" t="s">
        <v>1</v>
      </c>
      <c r="D2" s="1" t="s">
        <v>17</v>
      </c>
      <c r="E2" s="3" t="s">
        <v>2</v>
      </c>
      <c r="F2" s="1" t="s">
        <v>4</v>
      </c>
      <c r="H2" t="s">
        <v>24</v>
      </c>
      <c r="I2">
        <v>38200668</v>
      </c>
      <c r="J2" t="s">
        <v>24</v>
      </c>
    </row>
    <row r="3" spans="1:10">
      <c r="A3" s="1" t="s">
        <v>0</v>
      </c>
      <c r="B3" s="16">
        <f>D3-D3*0.45</f>
        <v>0.50600000000000001</v>
      </c>
      <c r="C3" s="15">
        <f>D3-D3*0.3</f>
        <v>0.64400000000000002</v>
      </c>
      <c r="D3" s="2">
        <v>0.92</v>
      </c>
      <c r="E3" s="15">
        <f>D3+D3*0.3</f>
        <v>1.1960000000000002</v>
      </c>
      <c r="F3" s="16">
        <f>D3+D3*0.45</f>
        <v>1.3340000000000001</v>
      </c>
      <c r="H3" t="s">
        <v>25</v>
      </c>
      <c r="I3">
        <v>50190621</v>
      </c>
      <c r="J3" t="s">
        <v>25</v>
      </c>
    </row>
    <row r="4" spans="1:10">
      <c r="A4" s="1" t="s">
        <v>16</v>
      </c>
      <c r="B4" s="16">
        <f>D4-D4*0.45</f>
        <v>0.86350000000000005</v>
      </c>
      <c r="C4" s="15">
        <f>D4-D4*0.3</f>
        <v>1.0990000000000002</v>
      </c>
      <c r="D4" s="2">
        <v>1.57</v>
      </c>
      <c r="E4" s="15">
        <f>D4+D4*0.3</f>
        <v>2.0409999999999999</v>
      </c>
      <c r="F4" s="16">
        <f>D4+D4*0.45</f>
        <v>2.2765</v>
      </c>
      <c r="H4" t="s">
        <v>26</v>
      </c>
      <c r="I4">
        <v>10190556</v>
      </c>
      <c r="J4" t="s">
        <v>25</v>
      </c>
    </row>
    <row r="5" spans="1:10">
      <c r="A5" s="1" t="s">
        <v>19</v>
      </c>
      <c r="B5" s="1">
        <v>17</v>
      </c>
      <c r="C5" s="1"/>
      <c r="D5" s="1"/>
      <c r="E5" s="1"/>
      <c r="F5" s="1"/>
      <c r="H5" t="s">
        <v>27</v>
      </c>
      <c r="I5">
        <v>11220775</v>
      </c>
      <c r="J5" t="s">
        <v>24</v>
      </c>
    </row>
    <row r="6" spans="1:10">
      <c r="A6" s="1"/>
      <c r="B6" s="1"/>
      <c r="C6" s="1"/>
      <c r="D6" s="1"/>
      <c r="E6" s="1"/>
      <c r="F6" s="1"/>
    </row>
    <row r="7" spans="1:10">
      <c r="A7" s="1" t="s">
        <v>6</v>
      </c>
      <c r="B7" s="1" t="s">
        <v>3</v>
      </c>
      <c r="C7" s="1" t="s">
        <v>1</v>
      </c>
      <c r="D7" s="1" t="s">
        <v>17</v>
      </c>
      <c r="E7" s="3" t="s">
        <v>2</v>
      </c>
      <c r="F7" s="1" t="s">
        <v>4</v>
      </c>
    </row>
    <row r="8" spans="1:10">
      <c r="A8" s="1" t="s">
        <v>0</v>
      </c>
      <c r="B8" s="16">
        <f>D8-D8*0.45</f>
        <v>1.2044999999999999</v>
      </c>
      <c r="C8" s="15">
        <f>D8-D8*0.3</f>
        <v>1.5329999999999999</v>
      </c>
      <c r="D8" s="2">
        <f>ROUND(D9/39.8031914893617,2)</f>
        <v>2.19</v>
      </c>
      <c r="E8" s="15">
        <f>D8+D8*0.3</f>
        <v>2.847</v>
      </c>
      <c r="F8" s="16">
        <f>D8+D8*0.45</f>
        <v>3.1755</v>
      </c>
    </row>
    <row r="9" spans="1:10">
      <c r="A9" s="1" t="s">
        <v>16</v>
      </c>
      <c r="B9" s="16">
        <f>D9-D9*0.45</f>
        <v>47.888499999999993</v>
      </c>
      <c r="C9" s="15">
        <f>D9-D9*0.3</f>
        <v>60.948999999999998</v>
      </c>
      <c r="D9" s="2">
        <v>87.07</v>
      </c>
      <c r="E9" s="15">
        <f>D9+D9*0.3</f>
        <v>113.19099999999999</v>
      </c>
      <c r="F9" s="16">
        <f>D9+D9*0.45</f>
        <v>126.25149999999999</v>
      </c>
    </row>
    <row r="10" spans="1:10">
      <c r="A10" s="1" t="s">
        <v>19</v>
      </c>
      <c r="B10" s="1">
        <v>398</v>
      </c>
      <c r="C10" s="1"/>
      <c r="D10" s="1"/>
      <c r="E10" s="1"/>
      <c r="F10" s="1"/>
    </row>
    <row r="12" spans="1:10">
      <c r="A12" s="27" t="s">
        <v>49</v>
      </c>
    </row>
    <row r="13" spans="1:10">
      <c r="A13" s="28" t="s">
        <v>36</v>
      </c>
      <c r="E13" t="s">
        <v>39</v>
      </c>
    </row>
    <row r="14" spans="1:10">
      <c r="A14" s="28" t="s">
        <v>37</v>
      </c>
      <c r="E14" t="s">
        <v>40</v>
      </c>
    </row>
    <row r="15" spans="1:10">
      <c r="A15" t="s">
        <v>34</v>
      </c>
      <c r="E15" t="s">
        <v>41</v>
      </c>
    </row>
    <row r="16" spans="1:10">
      <c r="A16" t="s">
        <v>35</v>
      </c>
      <c r="E16" t="s">
        <v>42</v>
      </c>
    </row>
    <row r="17" spans="1:5">
      <c r="A17" t="s">
        <v>38</v>
      </c>
      <c r="E17" t="s">
        <v>43</v>
      </c>
    </row>
    <row r="19" spans="1:5">
      <c r="A19" t="s">
        <v>44</v>
      </c>
    </row>
    <row r="20" spans="1:5">
      <c r="A20" t="s">
        <v>45</v>
      </c>
      <c r="E20">
        <v>0.71</v>
      </c>
    </row>
    <row r="21" spans="1:5">
      <c r="A21" t="s">
        <v>46</v>
      </c>
      <c r="E21">
        <v>1.19</v>
      </c>
    </row>
    <row r="22" spans="1:5">
      <c r="A22" t="s">
        <v>47</v>
      </c>
      <c r="E22">
        <v>1.36</v>
      </c>
    </row>
    <row r="23" spans="1:5">
      <c r="A23" t="s">
        <v>48</v>
      </c>
      <c r="E23">
        <v>1.98</v>
      </c>
    </row>
    <row r="24" spans="1:5">
      <c r="A24" t="s">
        <v>50</v>
      </c>
      <c r="E24">
        <v>0.4</v>
      </c>
    </row>
    <row r="25" spans="1:5">
      <c r="A25" t="s">
        <v>51</v>
      </c>
      <c r="E25">
        <v>1.03</v>
      </c>
    </row>
  </sheetData>
  <mergeCells count="1">
    <mergeCell ref="A1:C1"/>
  </mergeCells>
  <phoneticPr fontId="1" type="noConversion"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COVERSHEET</vt:lpstr>
      <vt:lpstr>TESFTQ</vt:lpstr>
      <vt:lpstr>FT_PRESETTING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Cheng, Kuei Fang X</dc:creator>
  <cp:lastModifiedBy>Cheng, Kuei Fang</cp:lastModifiedBy>
  <cp:lastPrinted>2022-07-28T19:59:09Z</cp:lastPrinted>
  <dcterms:created xsi:type="dcterms:W3CDTF">2020-10-23T07:59:07Z</dcterms:created>
  <dcterms:modified xsi:type="dcterms:W3CDTF">2023-03-06T11:40:08Z</dcterms:modified>
</cp:coreProperties>
</file>